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rist\Downloads\"/>
    </mc:Choice>
  </mc:AlternateContent>
  <xr:revisionPtr revIDLastSave="0" documentId="13_ncr:1_{9025D95F-8DA1-47A1-8FE1-E0EBE5CF81E5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oja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0" i="1" l="1"/>
  <c r="H30" i="1"/>
  <c r="G8" i="1"/>
  <c r="H8" i="1"/>
</calcChain>
</file>

<file path=xl/sharedStrings.xml><?xml version="1.0" encoding="utf-8"?>
<sst xmlns="http://schemas.openxmlformats.org/spreadsheetml/2006/main" count="85" uniqueCount="79">
  <si>
    <t>FASE</t>
  </si>
  <si>
    <t>USUARIO</t>
  </si>
  <si>
    <t>REQUERIMIENTO TÉCNICO</t>
  </si>
  <si>
    <t>OBSERVACIONES</t>
  </si>
  <si>
    <t>TIEMPO ESTIMADO</t>
  </si>
  <si>
    <t>• Carga de documentos (analíticas de laboratorio, informes médicos, escáneres, radiografías, TAC, recetas).
• Extracción y clasificación de datos mediante OCR y visión por computador.
• Explicación de resultados en lenguaje sencillo y amigable.
• Resaltado por colores según severidad (verde = normal, amarillo = atención, rojo = urgencia).
• Generación de preguntas sugeridas para el médico.</t>
  </si>
  <si>
    <t>• Integración con API de IA (Ollama / OpenAI / Claude) y prompt engineering clínico estructurado.
• Generación automatizada con IA + librerías de gráficos (Chart.js / D3.js) + motor de plantillas PDF.
• Cruce de resultados actuales con analíticas anteriores.</t>
  </si>
  <si>
    <t>• Desarrollo de software puro: plantillas, gráficos y lógica de comparación.
• No requiere dependencias externas adicionales.
• MVP Fase 1: incluye subida e interpretación con IA, más Informe Premium básico (gráficos y comparativas); la bibliografía de respaldo queda para una iteración posterior.</t>
  </si>
  <si>
    <t>120 horas (15 días hábiles)
MVP Fase 1</t>
  </si>
  <si>
    <t>• Historial médico digital alojado en la app y en la web (pasaporte de salud QR, ficha de emergencia tipo "chapa militar").
• Registro e ingreso de datos biológicos y clínicos (edad, género, antecedentes médicos, enfermedades preexistentes, alergias, medicación habitual).
• Generación de Avatar Digital.</t>
  </si>
  <si>
    <t>• Base de datos relacional cifrada.
• QR para datos críticos (tipo de sangre, alergias, medicación, informes médicos, contacto de emergencia, donante), accesible sin desbloquear el teléfono.</t>
  </si>
  <si>
    <t>• QR y ficha de emergencia son funcionalidades estándar.
• Posibilidad de traspasar los datos en visitas médicas o urgencias mediante escaneo del código QR, acceso al portal o API con clave concedida, o visualización en el teléfono del usuario.
• Un familiar cercano puede trasladar los datos a un médico por email o a través de la app; ideal para personas mayores o pacientes con patologías complejas o avanzadas.
• MVP Fase 1: solo historial básico + QR de emergencia. El Avatar Digital queda fuera del MVP y se estimará aparte cuando se retome.</t>
  </si>
  <si>
    <t>32 horas (4 días hábiles)
MVP Fase 1 (solo básico + QR, sin avatar digital)</t>
  </si>
  <si>
    <t>• Consultas sobre patologías, avances científicos y ensayos clínicos.</t>
  </si>
  <si>
    <t>• RAG conectado a PubMed, ClinicalTrials.gov y Cochrane.
• Resúmenes en lenguaje comprensible.</t>
  </si>
  <si>
    <t>• El conector RAG es directo.
• MVP Fase 1: alcance recortado a una sola fuente (PubMed); ClinicalTrials.gov y Cochrane quedan para una fase posterior.</t>
  </si>
  <si>
    <t>32 horas (4 días hábiles)
MVP Fase 1 (solo PubMed)</t>
  </si>
  <si>
    <t>• Medicina preventiva y longevidad.</t>
  </si>
  <si>
    <t>• Contenido generado por IA con recomendaciones según el perfil del usuario.
• Sección informativa y recomendaciones personalizadas sobre prevención de salud y longevidad.
• Conexión con centros médicos y especialistas (presencial y telemática).</t>
  </si>
  <si>
    <t>• Generación de recomendaciones contrastadas con informes médicos viables.
• Recomendaciones a clínicas o médicos especializados.</t>
  </si>
  <si>
    <t>48-64 horas (6-8 días hábiles)</t>
  </si>
  <si>
    <t>• Gestión de citas por WhatsApp (mensaje escrito) y cobro de la consulta.
• Directorio de médicos de nuestro cuadro médico, con búsqueda por cercanía o próxima disponibilidad, y posibilidad de videoconferencia.
• Búsqueda y selección de especialistas con derivación inteligente por IA (según las analíticas o la orientación del triaje).
• Agendamiento 24/7 mediante calendario visual o asistente de voz con IA.
• Envío automático al doctor, previo a la cita, del historial médico autorizado.
• Pasarela de pagos integrada para el cobro anticipado de la consulta.</t>
  </si>
  <si>
    <t>• Pasarela de pago (Stripe/PSE) + comunicaciones (Twilio/Agora/Vapi).
• Calendario con disponibilidad en tiempo real.</t>
  </si>
  <si>
    <t>• Agendamiento es desarrollo propio; la voz y el cobro dependen de servicios externos consolidados.</t>
  </si>
  <si>
    <t>120-144 horas (15-18 días hábiles)</t>
  </si>
  <si>
    <t>• Health Score (índice 0-100) por categorías: corazón, metabolismo, inflamación, función renal, hígado, sueño, ejercicio, fuerza y composición corporal.</t>
  </si>
  <si>
    <t>• Algoritmo de scoring basado en rangos de referencia clínicos, ponderado por categoría.
• Se recalcula con cada nueva analítica.</t>
  </si>
  <si>
    <t>• El algoritmo y la visualización son directos.
• MVP Fase 1.</t>
  </si>
  <si>
    <t>32 horas (4 días hábiles)
MVP Fase 1</t>
  </si>
  <si>
    <t>• Asistente de IA para triaje y prediagnóstico de síntomas.
• Interfaz de chat que evalúa síntomas en tiempo real, realiza preguntas de seguimiento y genera un informe de evaluación de estilo clínico (posibles diagnósticos, razonamiento y pasos a seguir).</t>
  </si>
  <si>
    <t>• Chat guiado con preguntas de seguimiento y salida en formato clínico (posibles diagnósticos, razonamiento y siguientes pasos).
• Consulta sobre patologías: buscador/asistente conversacional con IA sobre patologías, literatura médica actualizada, avances científicos y ensayos clínicos en curso.</t>
  </si>
  <si>
    <t>• El flujo conversacional es viable.
• El prediagnóstico se ofrece únicamente para recomendar un especialista según los síntomas.
• Punto delicado: advertir siempre que no es un diagnóstico médico, sino una evaluación inicial para recomendar el tipo de especialista al que acudir.</t>
  </si>
  <si>
    <t>96-120 horas (12-15 días hábiles)</t>
  </si>
  <si>
    <t>• Gestión de citas por voz, y pagos.</t>
  </si>
  <si>
    <t>80-96 horas (10-12 días hábiles)
Fase 2</t>
  </si>
  <si>
    <t>MÉDICO</t>
  </si>
  <si>
    <t>• Directorio médico para dar a conocer sus servicios: fotos, vídeo de presentación, vídeo de la clínica, trayectoria y currículum (opcional; también puede optar por incluir solo sus datos).
• Registro y validación de credenciales (colegiación médica obligatoria).</t>
  </si>
  <si>
    <t>• MVP Fase 1: cuenta Premium básica (perfil y directorio). El feed de noticias/resúmenes con IA (fila 18) queda para una fase posterior.</t>
  </si>
  <si>
    <t>48 horas (6 días hábiles)
MVP Fase 1 (directorio + perfil básico)</t>
  </si>
  <si>
    <t>• Noticias por especialidad, resumen diario con IA, calculadoras y escalas clínicas.
• Feed de novedades y alertas sanitarias filtradas por la especialidad del médico.
• Resumen diario con IA: boletines matutinos sintéticos de 2-3 minutos de lectura.</t>
  </si>
  <si>
    <t>• Panel con filtros por especialidad y conector RAG para literatura médica.
• Herramientas clínicas reutilizables.
• Alertas sobre noticias o eventos de interés y traducción automática mediante traductor especializado.</t>
  </si>
  <si>
    <t>• El panel es directo.</t>
  </si>
  <si>
    <t>80-96 horas (10-12 días hábiles)
Fuera del MVP Fase 1 (fase posterior)</t>
  </si>
  <si>
    <t>• Agenda de citas para pacientes propios o agendados desde la app, derivadas a WhatsApp o gestionadas directamente por WhatsApp.
• Posibilidad de que las citas médicas sean mediante videoconferencia.
• Recepción de expedientes pre-consulta: la IA entrega al médico un resumen ejecutivo, el motivo de consulta, el historial autorizado y los valores alterados.
• Recepción y agendamiento asistidos por voz con IA (posible en primera o segunda fase).
• Alertas previas al médico sobre citas concertadas y pagadas.</t>
  </si>
  <si>
    <t>• Suscripciones (Stripe).
• Panel de gestión.
• Integración con el historial autorizado.
• Cobro anticipado.</t>
  </si>
  <si>
    <t>• Arquitectura de suscripciones y gestión de pacientes: patrón de software estándar.</t>
  </si>
  <si>
    <t>80-96 horas (10-12 días hábiles)</t>
  </si>
  <si>
    <t>• Base de datos propia de pacientes en la nube (pruebas médicas, medicación, etc.), organizada por la IA.
• Consulta de cualquier informe o paciente solicitándolo a la IA de forma sencilla.
• Acceso desde la web o el teléfono, en cualquier lugar (clínica, casa, portátil), con encriptación.</t>
  </si>
  <si>
    <t>64-80 horas (8-10 días hábiles)</t>
  </si>
  <si>
    <t>• Derivación inteligente de paciente a especialista.</t>
  </si>
  <si>
    <t>• Matching algorítmico por tipo de análisis, valores alterados y especialidad.
• Filtrado por ubicación y disponibilidad.</t>
  </si>
  <si>
    <t>• Lógica de negocio + filtrado de base de datos + integración con la IA ya implementada.
• MVP Fase 1: sin filtrado por ubicación/disponibilidad todavía; se añadirá después.</t>
  </si>
  <si>
    <t>24 horas (3 días hábiles)
MVP Fase 1 (matching simplificado)</t>
  </si>
  <si>
    <t>• Telemedicina (videollamada, chat, audio).
• Módulo de entrega posconsulta: generación e inserción de informes, recomendaciones y plan de seguimiento.
• Control de pagos por adelantado recibidos de los pacientes.
• Liquidación de comisiones según el modelo de negocio (suscripción mensual, fee por consulta o modelo híbrido).</t>
  </si>
  <si>
    <t>• Uso de Google Meet.</t>
  </si>
  <si>
    <t>• Integración de videollamada dependiente de un servicio externo, pero estándar y bien documentada.</t>
  </si>
  <si>
    <t>• Verificación de colegiación de médicos.</t>
  </si>
  <si>
    <t>• Alta con verificación manual o semiautomática del número de colegiado, según el país.</t>
  </si>
  <si>
    <t>• Depende de las bases de datos de los colegios médicos de cada país; no es un problema de software, sino de acceso a datos oficiales.</t>
  </si>
  <si>
    <t>40-56 horas (5-7 días hábiles)
Dependiente de terceros</t>
  </si>
  <si>
    <t>• IA especializada de apoyo en diagnósticos: revisión de análisis, radiografías y TAC.
• IA científica e investigadora: motor de búsqueda para evidencia médica, guías clínicas, protocolos y ensayos.
• IA clínica de diagnóstico/soporte: segunda opinión en la lectura de análisis clínicos, radiografías, TAC y resonancias.
• Herramientas médicas: calculadoras clínicas, conversión de unidades, escalas y sintetizador de artículos extensos.
• Interpretación de imágenes médicas (rayos X, TAC).</t>
  </si>
  <si>
    <t>• Solución: conectar con un proveedor de IA especializado en radiología.
• Definir en qué fase se activa, según la regulación del país de lanzamiento (pendiente Marruecos y Argelia).</t>
  </si>
  <si>
    <t>• Dificultad: el desarrollo propio implica alta complejidad técnica y regulatoria.</t>
  </si>
  <si>
    <t>160-200 horas (20-25 días hábiles)
o proveedor externo</t>
  </si>
  <si>
    <t>• Prácticas médicas en ONG: posibilidad de ejercer como médico en una ONG.</t>
  </si>
  <si>
    <t>• Sección de prácticas y ONG: bolsa de oportunidades de voluntariado y prácticas internacionales para médicos recién graduados (con asistencia de traducción).</t>
  </si>
  <si>
    <t>32-40 horas (4-5 días hábiles)</t>
  </si>
  <si>
    <t>• Comunidad médica internacional con traducción automática.
• Red social/foro privado entre médicos de distintas especialidades para discusión de casos.
• Traducción simultánea por IA: permite la colaboración internacional rompiendo la barrera del idioma.</t>
  </si>
  <si>
    <t>• Foro/chat por especialidad con traducción en tiempo real (DeepL / Google Translate).</t>
  </si>
  <si>
    <t>• El foro es desarrollo propio; la traducción depende de APIs externas. Se recomienda para una fase avanzada.</t>
  </si>
  <si>
    <t>IA Health</t>
  </si>
  <si>
    <t>27 dias</t>
  </si>
  <si>
    <t>35 dias</t>
  </si>
  <si>
    <t>Dif 35 h</t>
  </si>
  <si>
    <t>70 h</t>
  </si>
  <si>
    <t>49 dias +27= 76 dias + testeo=90  dias.</t>
  </si>
  <si>
    <t>Cristian</t>
  </si>
  <si>
    <t>Dana</t>
  </si>
  <si>
    <t>Facundo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</si>
</sst>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1F4E5F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sz val="12"/>
      <color theme="1"/>
      <name val="Calibri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rgb="FF9FC5E8"/>
      </patternFill>
    </fill>
    <fill>
      <patternFill patternType="solid">
        <fgColor theme="6" tint="0.79998168889431442"/>
        <bgColor rgb="FF93C47D"/>
      </patternFill>
    </fill>
    <fill>
      <patternFill patternType="solid">
        <fgColor rgb="FFFFCCFF"/>
        <bgColor rgb="FF9FC5E8"/>
      </patternFill>
    </fill>
    <fill>
      <patternFill patternType="solid">
        <fgColor rgb="FFFFCCFF"/>
        <bgColor rgb="FF93C47D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333333"/>
      </patternFill>
    </fill>
  </fills>
  <borders count="3">
    <border>
      <left/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0" fillId="3" borderId="0" xfId="0" applyFill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0" fillId="4" borderId="0" xfId="0" applyFill="1"/>
    <xf numFmtId="0" fontId="3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10" borderId="0" xfId="0" applyFill="1"/>
    <xf numFmtId="0" fontId="6" fillId="11" borderId="0" xfId="0" applyFont="1" applyFill="1" applyBorder="1" applyAlignment="1">
      <alignment horizontal="center" vertical="center" wrapText="1"/>
    </xf>
    <xf numFmtId="0" fontId="0" fillId="0" borderId="0" xfId="0" applyFill="1"/>
    <xf numFmtId="0" fontId="5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4"/>
  <sheetViews>
    <sheetView showGridLines="0" tabSelected="1"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34" sqref="H34"/>
    </sheetView>
  </sheetViews>
  <sheetFormatPr baseColWidth="10" defaultColWidth="8.7109375" defaultRowHeight="15" x14ac:dyDescent="0.25"/>
  <cols>
    <col min="1" max="1" width="6" customWidth="1"/>
    <col min="2" max="2" width="5.85546875" customWidth="1"/>
    <col min="3" max="3" width="40" customWidth="1"/>
    <col min="4" max="4" width="40" hidden="1" customWidth="1"/>
    <col min="5" max="5" width="38" hidden="1" customWidth="1"/>
    <col min="6" max="6" width="24" customWidth="1"/>
    <col min="7" max="7" width="8.7109375" style="12"/>
    <col min="8" max="8" width="8.7109375" style="8"/>
  </cols>
  <sheetData>
    <row r="1" spans="2:9" ht="19.5" thickBot="1" x14ac:dyDescent="0.3">
      <c r="B1" s="26" t="s">
        <v>70</v>
      </c>
      <c r="C1" s="26"/>
      <c r="D1" s="26"/>
      <c r="E1" s="26"/>
      <c r="F1" s="26"/>
      <c r="I1" s="27"/>
    </row>
    <row r="2" spans="2:9" ht="16.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8" t="s">
        <v>76</v>
      </c>
      <c r="H2" s="20" t="s">
        <v>77</v>
      </c>
      <c r="I2" s="28" t="s">
        <v>78</v>
      </c>
    </row>
    <row r="3" spans="2:9" x14ac:dyDescent="0.25">
      <c r="I3" s="27"/>
    </row>
    <row r="4" spans="2:9" ht="140.25" x14ac:dyDescent="0.25">
      <c r="B4" s="9">
        <v>1</v>
      </c>
      <c r="C4" s="10" t="s">
        <v>5</v>
      </c>
      <c r="D4" s="10" t="s">
        <v>6</v>
      </c>
      <c r="E4" s="10" t="s">
        <v>7</v>
      </c>
      <c r="F4" s="11" t="s">
        <v>8</v>
      </c>
      <c r="G4" s="16">
        <v>120</v>
      </c>
      <c r="H4" s="17"/>
      <c r="I4" s="27"/>
    </row>
    <row r="5" spans="2:9" ht="178.5" x14ac:dyDescent="0.25">
      <c r="B5" s="9">
        <v>1</v>
      </c>
      <c r="C5" s="10" t="s">
        <v>9</v>
      </c>
      <c r="D5" s="10" t="s">
        <v>10</v>
      </c>
      <c r="E5" s="10" t="s">
        <v>11</v>
      </c>
      <c r="F5" s="11" t="s">
        <v>12</v>
      </c>
      <c r="G5" s="16">
        <v>32</v>
      </c>
      <c r="H5" s="17"/>
      <c r="I5" s="27"/>
    </row>
    <row r="6" spans="2:9" ht="51" x14ac:dyDescent="0.25">
      <c r="B6" s="5">
        <v>1</v>
      </c>
      <c r="C6" s="6" t="s">
        <v>13</v>
      </c>
      <c r="D6" s="6" t="s">
        <v>14</v>
      </c>
      <c r="E6" s="6" t="s">
        <v>15</v>
      </c>
      <c r="F6" s="7" t="s">
        <v>16</v>
      </c>
      <c r="G6" s="16"/>
      <c r="H6" s="17">
        <v>39</v>
      </c>
      <c r="I6" s="27"/>
    </row>
    <row r="7" spans="2:9" ht="191.25" x14ac:dyDescent="0.25">
      <c r="B7" s="5">
        <v>1</v>
      </c>
      <c r="C7" s="6" t="s">
        <v>21</v>
      </c>
      <c r="D7" s="6" t="s">
        <v>22</v>
      </c>
      <c r="E7" s="6" t="s">
        <v>23</v>
      </c>
      <c r="F7" s="7" t="s">
        <v>24</v>
      </c>
      <c r="G7" s="16"/>
      <c r="H7" s="17">
        <v>78</v>
      </c>
      <c r="I7" s="27"/>
    </row>
    <row r="8" spans="2:9" ht="15.75" x14ac:dyDescent="0.25">
      <c r="B8" s="2"/>
      <c r="C8" s="3"/>
      <c r="D8" s="3"/>
      <c r="E8" s="3"/>
      <c r="F8" s="4"/>
      <c r="G8" s="22">
        <f>SUM(G3:G7)</f>
        <v>152</v>
      </c>
      <c r="H8" s="22">
        <f>SUM(H3:H7)</f>
        <v>117</v>
      </c>
      <c r="I8" s="29"/>
    </row>
    <row r="9" spans="2:9" ht="15.75" x14ac:dyDescent="0.25">
      <c r="B9" s="2"/>
      <c r="C9" s="3"/>
      <c r="D9" s="3"/>
      <c r="E9" s="3"/>
      <c r="F9" s="4"/>
      <c r="G9" s="22" t="s">
        <v>71</v>
      </c>
      <c r="H9" s="22"/>
      <c r="I9" s="29"/>
    </row>
    <row r="10" spans="2:9" ht="15.75" x14ac:dyDescent="0.25">
      <c r="B10" s="2"/>
      <c r="C10" s="3"/>
      <c r="D10" s="3"/>
      <c r="E10" s="3"/>
      <c r="F10" s="4"/>
      <c r="G10" s="22" t="s">
        <v>73</v>
      </c>
      <c r="H10" s="22"/>
      <c r="I10" s="29"/>
    </row>
    <row r="11" spans="2:9" ht="15.75" x14ac:dyDescent="0.25">
      <c r="B11" s="2"/>
      <c r="C11" s="3"/>
      <c r="D11" s="3"/>
      <c r="E11" s="3"/>
      <c r="F11" s="4"/>
      <c r="G11" s="22"/>
      <c r="H11" s="22"/>
      <c r="I11" s="29"/>
    </row>
    <row r="12" spans="2:9" ht="51" x14ac:dyDescent="0.25">
      <c r="B12" s="31">
        <v>2</v>
      </c>
      <c r="C12" s="32" t="s">
        <v>25</v>
      </c>
      <c r="D12" s="32" t="s">
        <v>26</v>
      </c>
      <c r="E12" s="32" t="s">
        <v>27</v>
      </c>
      <c r="F12" s="33" t="s">
        <v>28</v>
      </c>
      <c r="G12" s="30"/>
      <c r="H12" s="17"/>
      <c r="I12" s="27"/>
    </row>
    <row r="13" spans="2:9" ht="102" x14ac:dyDescent="0.25">
      <c r="B13" s="9">
        <v>1</v>
      </c>
      <c r="C13" s="10" t="s">
        <v>29</v>
      </c>
      <c r="D13" s="10" t="s">
        <v>30</v>
      </c>
      <c r="E13" s="10" t="s">
        <v>31</v>
      </c>
      <c r="F13" s="11" t="s">
        <v>32</v>
      </c>
      <c r="G13" s="16"/>
      <c r="H13" s="17"/>
      <c r="I13" s="27"/>
    </row>
    <row r="14" spans="2:9" ht="38.25" x14ac:dyDescent="0.25">
      <c r="B14" s="5">
        <v>2</v>
      </c>
      <c r="C14" s="6" t="s">
        <v>33</v>
      </c>
      <c r="D14" s="6"/>
      <c r="E14" s="6"/>
      <c r="F14" s="7" t="s">
        <v>34</v>
      </c>
      <c r="G14" s="16"/>
      <c r="H14" s="17"/>
      <c r="I14" s="27"/>
    </row>
    <row r="15" spans="2:9" ht="89.25" x14ac:dyDescent="0.25">
      <c r="B15" s="2">
        <v>2</v>
      </c>
      <c r="C15" s="3" t="s">
        <v>17</v>
      </c>
      <c r="D15" s="3" t="s">
        <v>18</v>
      </c>
      <c r="E15" s="3" t="s">
        <v>19</v>
      </c>
      <c r="F15" s="4" t="s">
        <v>20</v>
      </c>
      <c r="G15" s="16"/>
      <c r="H15" s="17"/>
      <c r="I15" s="27"/>
    </row>
    <row r="16" spans="2:9" x14ac:dyDescent="0.25">
      <c r="G16" s="29"/>
      <c r="H16" s="29"/>
      <c r="I16" s="29"/>
    </row>
    <row r="17" spans="2:9" ht="15.75" thickBot="1" x14ac:dyDescent="0.3">
      <c r="G17" s="29"/>
      <c r="H17" s="29"/>
      <c r="I17" s="29"/>
    </row>
    <row r="18" spans="2:9" ht="45.75" thickBot="1" x14ac:dyDescent="0.3">
      <c r="B18" s="1" t="s">
        <v>0</v>
      </c>
      <c r="C18" s="1" t="s">
        <v>35</v>
      </c>
      <c r="D18" s="1" t="s">
        <v>2</v>
      </c>
      <c r="E18" s="1" t="s">
        <v>3</v>
      </c>
      <c r="F18" s="1" t="s">
        <v>4</v>
      </c>
      <c r="G18" s="19"/>
      <c r="H18" s="21"/>
      <c r="I18" s="27"/>
    </row>
    <row r="19" spans="2:9" ht="15.75" x14ac:dyDescent="0.25">
      <c r="G19" s="30"/>
      <c r="H19" s="30"/>
      <c r="I19" s="29"/>
    </row>
    <row r="20" spans="2:9" ht="76.5" x14ac:dyDescent="0.25">
      <c r="B20" s="9">
        <v>1</v>
      </c>
      <c r="C20" s="10" t="s">
        <v>36</v>
      </c>
      <c r="D20" s="10"/>
      <c r="E20" s="10" t="s">
        <v>37</v>
      </c>
      <c r="F20" s="11" t="s">
        <v>38</v>
      </c>
      <c r="G20" s="16">
        <v>48</v>
      </c>
      <c r="H20" s="17"/>
      <c r="I20" s="27"/>
    </row>
    <row r="21" spans="2:9" ht="76.5" x14ac:dyDescent="0.25">
      <c r="B21" s="5">
        <v>1</v>
      </c>
      <c r="C21" s="6" t="s">
        <v>39</v>
      </c>
      <c r="D21" s="6" t="s">
        <v>40</v>
      </c>
      <c r="E21" s="6" t="s">
        <v>41</v>
      </c>
      <c r="F21" s="7" t="s">
        <v>42</v>
      </c>
      <c r="G21" s="16"/>
      <c r="H21" s="17">
        <v>74</v>
      </c>
      <c r="I21" s="27"/>
    </row>
    <row r="22" spans="2:9" ht="165.75" x14ac:dyDescent="0.25">
      <c r="B22" s="13">
        <v>1</v>
      </c>
      <c r="C22" s="14" t="s">
        <v>43</v>
      </c>
      <c r="D22" s="14" t="s">
        <v>44</v>
      </c>
      <c r="E22" s="14" t="s">
        <v>45</v>
      </c>
      <c r="F22" s="15" t="s">
        <v>46</v>
      </c>
      <c r="G22" s="16"/>
      <c r="H22" s="17"/>
      <c r="I22" s="27">
        <v>80</v>
      </c>
    </row>
    <row r="23" spans="2:9" ht="89.25" x14ac:dyDescent="0.25">
      <c r="B23" s="9">
        <v>1</v>
      </c>
      <c r="C23" s="10" t="s">
        <v>47</v>
      </c>
      <c r="D23" s="10"/>
      <c r="E23" s="10"/>
      <c r="F23" s="11" t="s">
        <v>48</v>
      </c>
      <c r="G23" s="16">
        <v>80</v>
      </c>
      <c r="H23" s="17"/>
      <c r="I23" s="27"/>
    </row>
    <row r="24" spans="2:9" ht="76.5" x14ac:dyDescent="0.25">
      <c r="B24" s="9">
        <v>1</v>
      </c>
      <c r="C24" s="10" t="s">
        <v>49</v>
      </c>
      <c r="D24" s="10" t="s">
        <v>50</v>
      </c>
      <c r="E24" s="10" t="s">
        <v>51</v>
      </c>
      <c r="F24" s="11" t="s">
        <v>52</v>
      </c>
      <c r="G24" s="16">
        <v>24</v>
      </c>
      <c r="H24" s="17"/>
      <c r="I24" s="27"/>
    </row>
    <row r="25" spans="2:9" ht="114.75" x14ac:dyDescent="0.25">
      <c r="B25" s="5">
        <v>1</v>
      </c>
      <c r="C25" s="6" t="s">
        <v>53</v>
      </c>
      <c r="D25" s="6" t="s">
        <v>54</v>
      </c>
      <c r="E25" s="6" t="s">
        <v>55</v>
      </c>
      <c r="F25" s="7" t="s">
        <v>32</v>
      </c>
      <c r="G25" s="16"/>
      <c r="H25" s="17">
        <v>84</v>
      </c>
      <c r="I25" s="27"/>
    </row>
    <row r="26" spans="2:9" ht="51" x14ac:dyDescent="0.25">
      <c r="B26" s="9">
        <v>1</v>
      </c>
      <c r="C26" s="10" t="s">
        <v>56</v>
      </c>
      <c r="D26" s="10" t="s">
        <v>57</v>
      </c>
      <c r="E26" s="10" t="s">
        <v>58</v>
      </c>
      <c r="F26" s="11" t="s">
        <v>59</v>
      </c>
      <c r="G26" s="16">
        <v>56</v>
      </c>
      <c r="H26" s="17"/>
      <c r="I26" s="27"/>
    </row>
    <row r="27" spans="2:9" ht="165.75" x14ac:dyDescent="0.25">
      <c r="B27" s="5">
        <v>1</v>
      </c>
      <c r="C27" s="6" t="s">
        <v>60</v>
      </c>
      <c r="D27" s="6" t="s">
        <v>61</v>
      </c>
      <c r="E27" s="6" t="s">
        <v>62</v>
      </c>
      <c r="F27" s="7" t="s">
        <v>63</v>
      </c>
      <c r="G27" s="16"/>
      <c r="H27" s="17">
        <v>120</v>
      </c>
      <c r="I27" s="27"/>
    </row>
    <row r="28" spans="2:9" ht="51" x14ac:dyDescent="0.25">
      <c r="B28" s="2">
        <v>2</v>
      </c>
      <c r="C28" s="3" t="s">
        <v>64</v>
      </c>
      <c r="D28" s="3" t="s">
        <v>65</v>
      </c>
      <c r="E28" s="3"/>
      <c r="F28" s="4" t="s">
        <v>66</v>
      </c>
      <c r="G28" s="16"/>
      <c r="H28" s="17"/>
      <c r="I28" s="27"/>
    </row>
    <row r="29" spans="2:9" ht="102" x14ac:dyDescent="0.25">
      <c r="B29" s="2">
        <v>2</v>
      </c>
      <c r="C29" s="3" t="s">
        <v>67</v>
      </c>
      <c r="D29" s="3" t="s">
        <v>68</v>
      </c>
      <c r="E29" s="3" t="s">
        <v>69</v>
      </c>
      <c r="F29" s="4" t="s">
        <v>34</v>
      </c>
      <c r="G29" s="16"/>
      <c r="H29" s="17"/>
      <c r="I29" s="27"/>
    </row>
    <row r="30" spans="2:9" ht="15.75" x14ac:dyDescent="0.25">
      <c r="B30" s="23"/>
      <c r="C30" s="24"/>
      <c r="D30" s="24"/>
      <c r="E30" s="24"/>
      <c r="F30" s="25"/>
      <c r="G30" s="16">
        <f>SUM(G19:G29)</f>
        <v>208</v>
      </c>
      <c r="H30" s="17">
        <f>SUM(H19:H29)</f>
        <v>278</v>
      </c>
    </row>
    <row r="31" spans="2:9" ht="15.75" x14ac:dyDescent="0.25">
      <c r="B31" s="23"/>
      <c r="C31" s="24"/>
      <c r="D31" s="24"/>
      <c r="E31" s="24"/>
      <c r="F31" s="25"/>
      <c r="G31" s="16"/>
      <c r="H31" s="17" t="s">
        <v>72</v>
      </c>
    </row>
    <row r="32" spans="2:9" x14ac:dyDescent="0.25">
      <c r="H32" s="8" t="s">
        <v>74</v>
      </c>
    </row>
    <row r="34" spans="8:8" x14ac:dyDescent="0.25">
      <c r="H34" s="8" t="s">
        <v>75</v>
      </c>
    </row>
  </sheetData>
  <mergeCells count="1">
    <mergeCell ref="B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Cristian Lopez</cp:lastModifiedBy>
  <cp:revision>0</cp:revision>
  <dcterms:created xsi:type="dcterms:W3CDTF">2026-08-06T01:53:37Z</dcterms:created>
  <dcterms:modified xsi:type="dcterms:W3CDTF">2026-08-09T10:57:55Z</dcterms:modified>
  <dc:language>en-US</dc:language>
</cp:coreProperties>
</file>